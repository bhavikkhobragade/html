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NGP-01_03\Downloads\BK EXCEL\"/>
    </mc:Choice>
  </mc:AlternateContent>
  <bookViews>
    <workbookView xWindow="0" yWindow="0" windowWidth="28800" windowHeight="122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M22" i="1" l="1"/>
  <c r="K21" i="1" l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I2" i="1"/>
  <c r="M2" i="1" s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H2" i="1"/>
</calcChain>
</file>

<file path=xl/sharedStrings.xml><?xml version="1.0" encoding="utf-8"?>
<sst xmlns="http://schemas.openxmlformats.org/spreadsheetml/2006/main" count="37" uniqueCount="36">
  <si>
    <t>PRN</t>
  </si>
  <si>
    <t>Student Name</t>
  </si>
  <si>
    <t>Subject1</t>
  </si>
  <si>
    <t>Subject2</t>
  </si>
  <si>
    <t>Subject3</t>
  </si>
  <si>
    <t>Subject4</t>
  </si>
  <si>
    <t>Subject5</t>
  </si>
  <si>
    <t>Alice Smith</t>
  </si>
  <si>
    <t>Bob Johnson</t>
  </si>
  <si>
    <t>Carol Brown</t>
  </si>
  <si>
    <t>David Wilson</t>
  </si>
  <si>
    <t>Emma Davis</t>
  </si>
  <si>
    <t>Frank Miller</t>
  </si>
  <si>
    <t>Grace Lee</t>
  </si>
  <si>
    <t>Henry Clark</t>
  </si>
  <si>
    <t>Jack Walker</t>
  </si>
  <si>
    <t>Kathy Hall</t>
  </si>
  <si>
    <t>Liam Young</t>
  </si>
  <si>
    <t>Noah Wright</t>
  </si>
  <si>
    <t>Olivia Scott</t>
  </si>
  <si>
    <t>Paul Adams</t>
  </si>
  <si>
    <t>Quinn Baker</t>
  </si>
  <si>
    <t>Rachel Carter</t>
  </si>
  <si>
    <t>Steve Mitchell</t>
  </si>
  <si>
    <t>Tina Perez</t>
  </si>
  <si>
    <t>Total</t>
  </si>
  <si>
    <t xml:space="preserve">Babu bhai </t>
  </si>
  <si>
    <t>Ivy Lewis king</t>
  </si>
  <si>
    <t>Per</t>
  </si>
  <si>
    <t>Result</t>
  </si>
  <si>
    <t>DISTENCTION</t>
  </si>
  <si>
    <t>IF(AND(K2="Pass",J2&gt;=75),"DIST","NO DIST")</t>
  </si>
  <si>
    <t>OPT</t>
  </si>
  <si>
    <t>NAME</t>
  </si>
  <si>
    <t>TOTAL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</si>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</sst>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130" zoomScaleNormal="130" workbookViewId="0">
      <selection sqref="A1:M22"/>
    </sheetView>
  </sheetViews>
  <sheetFormatPr defaultRowHeight="15" x14ac:dyDescent="0.25"/>
  <cols>
    <col min="2" max="2" width="15" customWidth="1"/>
    <col min="10" max="10" width="0" hidden="1" customWidth="1"/>
    <col min="12" max="12" width="9.140625" customWidth="1"/>
    <col min="13" max="13" width="18.28515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25</v>
      </c>
      <c r="J1" s="2"/>
      <c r="K1" s="2" t="s">
        <v>28</v>
      </c>
      <c r="L1" s="2" t="s">
        <v>29</v>
      </c>
      <c r="M1" s="2" t="s">
        <v>30</v>
      </c>
    </row>
    <row r="2" spans="1:13" x14ac:dyDescent="0.25">
      <c r="A2" s="3">
        <v>10001</v>
      </c>
      <c r="B2" s="3" t="s">
        <v>7</v>
      </c>
      <c r="C2" s="1">
        <v>78</v>
      </c>
      <c r="D2" s="1">
        <v>90</v>
      </c>
      <c r="E2" s="1">
        <v>20</v>
      </c>
      <c r="F2" s="1">
        <v>92</v>
      </c>
      <c r="G2" s="1">
        <v>88</v>
      </c>
      <c r="H2" s="1">
        <f ca="1">IF(AND(C1&gt;50,D2&gt;50,E2&gt;50,F2&gt;50,G2&gt;50,OR(H2="C1",H2="D1",H2="E1")),Pass,)</f>
        <v>0</v>
      </c>
      <c r="I2" s="4">
        <f t="shared" ref="I2:I21" si="0">SUM(C2:G2)</f>
        <v>368</v>
      </c>
      <c r="J2" s="4" t="s">
        <v>31</v>
      </c>
      <c r="K2" s="4">
        <f>AVERAGE(C2:G2)</f>
        <v>73.599999999999994</v>
      </c>
      <c r="L2" s="5" t="str">
        <f>IF((K2&gt;50), "Pass", "Fail")</f>
        <v>Pass</v>
      </c>
      <c r="M2" s="5" t="str">
        <f t="shared" ref="M2:M21" si="1">IF(AND(D2&gt;50,E2&gt;50,F2&gt;50,G2&gt;50,I2&gt;50), "DISTENCTION", "NON DISTENCTION")</f>
        <v>NON DISTENCTION</v>
      </c>
    </row>
    <row r="3" spans="1:13" x14ac:dyDescent="0.25">
      <c r="A3" s="3">
        <v>10002</v>
      </c>
      <c r="B3" s="3" t="s">
        <v>8</v>
      </c>
      <c r="C3" s="1">
        <v>75</v>
      </c>
      <c r="D3" s="1">
        <v>80</v>
      </c>
      <c r="E3" s="1">
        <v>72</v>
      </c>
      <c r="F3" s="1">
        <v>85</v>
      </c>
      <c r="G3" s="1">
        <v>79</v>
      </c>
      <c r="H3" s="1"/>
      <c r="I3" s="4">
        <f t="shared" si="0"/>
        <v>391</v>
      </c>
      <c r="J3" s="4"/>
      <c r="K3" s="4">
        <f t="shared" ref="K3:K21" si="2">AVERAGE(C3:G3)</f>
        <v>78.2</v>
      </c>
      <c r="L3" s="5" t="str">
        <f t="shared" ref="L3:L21" si="3">IF((K3&gt;50), "Pass", "Fail")</f>
        <v>Pass</v>
      </c>
      <c r="M3" s="5" t="str">
        <f t="shared" si="1"/>
        <v>DISTENCTION</v>
      </c>
    </row>
    <row r="4" spans="1:13" x14ac:dyDescent="0.25">
      <c r="A4" s="3">
        <v>10003</v>
      </c>
      <c r="B4" s="3" t="s">
        <v>9</v>
      </c>
      <c r="C4" s="1">
        <v>95</v>
      </c>
      <c r="D4" s="1">
        <v>89</v>
      </c>
      <c r="E4" s="1">
        <v>94</v>
      </c>
      <c r="F4" s="1">
        <v>90</v>
      </c>
      <c r="G4" s="1">
        <v>91</v>
      </c>
      <c r="H4" s="1"/>
      <c r="I4" s="4">
        <f t="shared" si="0"/>
        <v>459</v>
      </c>
      <c r="J4" s="4"/>
      <c r="K4" s="4">
        <f t="shared" si="2"/>
        <v>91.8</v>
      </c>
      <c r="L4" s="5" t="str">
        <f t="shared" si="3"/>
        <v>Pass</v>
      </c>
      <c r="M4" s="5" t="str">
        <f t="shared" si="1"/>
        <v>DISTENCTION</v>
      </c>
    </row>
    <row r="5" spans="1:13" x14ac:dyDescent="0.25">
      <c r="A5" s="3">
        <v>10004</v>
      </c>
      <c r="B5" s="3" t="s">
        <v>10</v>
      </c>
      <c r="C5" s="1">
        <v>65</v>
      </c>
      <c r="D5" s="1">
        <v>70</v>
      </c>
      <c r="E5" s="1">
        <v>68</v>
      </c>
      <c r="F5" s="1">
        <v>72</v>
      </c>
      <c r="G5" s="1">
        <v>74</v>
      </c>
      <c r="H5" s="1"/>
      <c r="I5" s="4">
        <f t="shared" si="0"/>
        <v>349</v>
      </c>
      <c r="J5" s="4"/>
      <c r="K5" s="4">
        <f t="shared" si="2"/>
        <v>69.8</v>
      </c>
      <c r="L5" s="5" t="str">
        <f t="shared" si="3"/>
        <v>Pass</v>
      </c>
      <c r="M5" s="5" t="str">
        <f t="shared" si="1"/>
        <v>DISTENCTION</v>
      </c>
    </row>
    <row r="6" spans="1:13" x14ac:dyDescent="0.25">
      <c r="A6" s="3">
        <v>10005</v>
      </c>
      <c r="B6" s="3" t="s">
        <v>11</v>
      </c>
      <c r="C6" s="1">
        <v>88</v>
      </c>
      <c r="D6" s="1">
        <v>85</v>
      </c>
      <c r="E6" s="1">
        <v>22</v>
      </c>
      <c r="F6" s="1">
        <v>87</v>
      </c>
      <c r="G6" s="1">
        <v>84</v>
      </c>
      <c r="H6" s="1"/>
      <c r="I6" s="4">
        <f t="shared" si="0"/>
        <v>366</v>
      </c>
      <c r="J6" s="4"/>
      <c r="K6" s="4">
        <f t="shared" si="2"/>
        <v>73.2</v>
      </c>
      <c r="L6" s="5" t="str">
        <f t="shared" si="3"/>
        <v>Pass</v>
      </c>
      <c r="M6" s="5" t="str">
        <f t="shared" si="1"/>
        <v>NON DISTENCTION</v>
      </c>
    </row>
    <row r="7" spans="1:13" x14ac:dyDescent="0.25">
      <c r="A7" s="3">
        <v>10006</v>
      </c>
      <c r="B7" s="3" t="s">
        <v>12</v>
      </c>
      <c r="C7" s="1">
        <v>70</v>
      </c>
      <c r="D7" s="1">
        <v>75</v>
      </c>
      <c r="E7" s="1">
        <v>72</v>
      </c>
      <c r="F7" s="1">
        <v>78</v>
      </c>
      <c r="G7" s="1">
        <v>73</v>
      </c>
      <c r="H7" s="1"/>
      <c r="I7" s="4">
        <f t="shared" si="0"/>
        <v>368</v>
      </c>
      <c r="J7" s="4"/>
      <c r="K7" s="4">
        <f t="shared" si="2"/>
        <v>73.599999999999994</v>
      </c>
      <c r="L7" s="5" t="str">
        <f t="shared" si="3"/>
        <v>Pass</v>
      </c>
      <c r="M7" s="5" t="str">
        <f t="shared" si="1"/>
        <v>DISTENCTION</v>
      </c>
    </row>
    <row r="8" spans="1:13" x14ac:dyDescent="0.25">
      <c r="A8" s="3">
        <v>10007</v>
      </c>
      <c r="B8" s="3" t="s">
        <v>13</v>
      </c>
      <c r="C8" s="1">
        <v>92</v>
      </c>
      <c r="D8" s="1">
        <v>94</v>
      </c>
      <c r="E8" s="1">
        <v>90</v>
      </c>
      <c r="F8" s="1">
        <v>96</v>
      </c>
      <c r="G8" s="1">
        <v>93</v>
      </c>
      <c r="H8" s="1"/>
      <c r="I8" s="4">
        <f t="shared" si="0"/>
        <v>465</v>
      </c>
      <c r="J8" s="4"/>
      <c r="K8" s="4">
        <f t="shared" si="2"/>
        <v>93</v>
      </c>
      <c r="L8" s="5" t="str">
        <f t="shared" si="3"/>
        <v>Pass</v>
      </c>
      <c r="M8" s="5" t="str">
        <f t="shared" si="1"/>
        <v>DISTENCTION</v>
      </c>
    </row>
    <row r="9" spans="1:13" x14ac:dyDescent="0.25">
      <c r="A9" s="3">
        <v>10008</v>
      </c>
      <c r="B9" s="3" t="s">
        <v>14</v>
      </c>
      <c r="C9" s="1">
        <v>60</v>
      </c>
      <c r="D9" s="1">
        <v>75</v>
      </c>
      <c r="E9" s="1">
        <v>62</v>
      </c>
      <c r="F9" s="1">
        <v>68</v>
      </c>
      <c r="G9" s="1">
        <v>64</v>
      </c>
      <c r="H9" s="1"/>
      <c r="I9" s="4">
        <f t="shared" si="0"/>
        <v>329</v>
      </c>
      <c r="J9" s="4"/>
      <c r="K9" s="4">
        <f t="shared" si="2"/>
        <v>65.8</v>
      </c>
      <c r="L9" s="5" t="str">
        <f t="shared" si="3"/>
        <v>Pass</v>
      </c>
      <c r="M9" s="5" t="str">
        <f t="shared" si="1"/>
        <v>DISTENCTION</v>
      </c>
    </row>
    <row r="10" spans="1:13" x14ac:dyDescent="0.25">
      <c r="A10" s="3">
        <v>10009</v>
      </c>
      <c r="B10" s="3" t="s">
        <v>27</v>
      </c>
      <c r="C10" s="1">
        <v>80</v>
      </c>
      <c r="D10" s="1">
        <v>82</v>
      </c>
      <c r="E10" s="1">
        <v>79</v>
      </c>
      <c r="F10" s="1">
        <v>85</v>
      </c>
      <c r="G10" s="1">
        <v>81</v>
      </c>
      <c r="H10" s="1"/>
      <c r="I10" s="4">
        <f t="shared" si="0"/>
        <v>407</v>
      </c>
      <c r="J10" s="4"/>
      <c r="K10" s="4">
        <f t="shared" si="2"/>
        <v>81.400000000000006</v>
      </c>
      <c r="L10" s="5" t="str">
        <f t="shared" si="3"/>
        <v>Pass</v>
      </c>
      <c r="M10" s="5" t="str">
        <f t="shared" si="1"/>
        <v>DISTENCTION</v>
      </c>
    </row>
    <row r="11" spans="1:13" x14ac:dyDescent="0.25">
      <c r="A11" s="3">
        <v>10010</v>
      </c>
      <c r="B11" s="3" t="s">
        <v>15</v>
      </c>
      <c r="C11" s="1">
        <v>78</v>
      </c>
      <c r="D11" s="1">
        <v>74</v>
      </c>
      <c r="E11" s="1">
        <v>76</v>
      </c>
      <c r="F11" s="1">
        <v>80</v>
      </c>
      <c r="G11" s="1">
        <v>75</v>
      </c>
      <c r="H11" s="1"/>
      <c r="I11" s="4">
        <f t="shared" si="0"/>
        <v>383</v>
      </c>
      <c r="J11" s="4"/>
      <c r="K11" s="4">
        <f t="shared" si="2"/>
        <v>76.599999999999994</v>
      </c>
      <c r="L11" s="5" t="str">
        <f t="shared" si="3"/>
        <v>Pass</v>
      </c>
      <c r="M11" s="5" t="str">
        <f t="shared" si="1"/>
        <v>DISTENCTION</v>
      </c>
    </row>
    <row r="12" spans="1:13" x14ac:dyDescent="0.25">
      <c r="A12" s="3">
        <v>10011</v>
      </c>
      <c r="B12" s="3" t="s">
        <v>16</v>
      </c>
      <c r="C12" s="1">
        <v>85</v>
      </c>
      <c r="D12" s="1">
        <v>88</v>
      </c>
      <c r="E12" s="1">
        <v>50</v>
      </c>
      <c r="F12" s="1">
        <v>89</v>
      </c>
      <c r="G12" s="1">
        <v>87</v>
      </c>
      <c r="H12" s="1"/>
      <c r="I12" s="4">
        <f t="shared" si="0"/>
        <v>399</v>
      </c>
      <c r="J12" s="4"/>
      <c r="K12" s="4">
        <f t="shared" si="2"/>
        <v>79.8</v>
      </c>
      <c r="L12" s="5" t="str">
        <f t="shared" si="3"/>
        <v>Pass</v>
      </c>
      <c r="M12" s="5" t="str">
        <f t="shared" si="1"/>
        <v>NON DISTENCTION</v>
      </c>
    </row>
    <row r="13" spans="1:13" x14ac:dyDescent="0.25">
      <c r="A13" s="3">
        <v>10012</v>
      </c>
      <c r="B13" s="3" t="s">
        <v>17</v>
      </c>
      <c r="C13" s="1">
        <v>72</v>
      </c>
      <c r="D13" s="1">
        <v>70</v>
      </c>
      <c r="E13" s="1">
        <v>75</v>
      </c>
      <c r="F13" s="1">
        <v>74</v>
      </c>
      <c r="G13" s="1">
        <v>73</v>
      </c>
      <c r="H13" s="1"/>
      <c r="I13" s="4">
        <f t="shared" si="0"/>
        <v>364</v>
      </c>
      <c r="J13" s="4"/>
      <c r="K13" s="4">
        <f t="shared" si="2"/>
        <v>72.8</v>
      </c>
      <c r="L13" s="5" t="str">
        <f t="shared" si="3"/>
        <v>Pass</v>
      </c>
      <c r="M13" s="5" t="str">
        <f t="shared" si="1"/>
        <v>DISTENCTION</v>
      </c>
    </row>
    <row r="14" spans="1:13" x14ac:dyDescent="0.25">
      <c r="A14" s="3">
        <v>10013</v>
      </c>
      <c r="B14" s="3" t="s">
        <v>26</v>
      </c>
      <c r="C14" s="1">
        <v>90</v>
      </c>
      <c r="D14" s="1">
        <v>92</v>
      </c>
      <c r="E14" s="1">
        <v>94</v>
      </c>
      <c r="F14" s="1">
        <v>91</v>
      </c>
      <c r="G14" s="1">
        <v>93</v>
      </c>
      <c r="H14" s="1"/>
      <c r="I14" s="4">
        <f t="shared" si="0"/>
        <v>460</v>
      </c>
      <c r="J14" s="4"/>
      <c r="K14" s="4">
        <f t="shared" si="2"/>
        <v>92</v>
      </c>
      <c r="L14" s="5" t="str">
        <f t="shared" si="3"/>
        <v>Pass</v>
      </c>
      <c r="M14" s="5" t="str">
        <f t="shared" si="1"/>
        <v>DISTENCTION</v>
      </c>
    </row>
    <row r="15" spans="1:13" x14ac:dyDescent="0.25">
      <c r="A15" s="3">
        <v>10014</v>
      </c>
      <c r="B15" s="3" t="s">
        <v>18</v>
      </c>
      <c r="C15" s="1">
        <v>68</v>
      </c>
      <c r="D15" s="1">
        <v>66</v>
      </c>
      <c r="E15" s="1">
        <v>70</v>
      </c>
      <c r="F15" s="1">
        <v>44</v>
      </c>
      <c r="G15" s="1">
        <v>67</v>
      </c>
      <c r="H15" s="1"/>
      <c r="I15" s="4">
        <f t="shared" si="0"/>
        <v>315</v>
      </c>
      <c r="J15" s="4"/>
      <c r="K15" s="4">
        <f t="shared" si="2"/>
        <v>63</v>
      </c>
      <c r="L15" s="5" t="str">
        <f t="shared" si="3"/>
        <v>Pass</v>
      </c>
      <c r="M15" s="5" t="str">
        <f t="shared" si="1"/>
        <v>NON DISTENCTION</v>
      </c>
    </row>
    <row r="16" spans="1:13" x14ac:dyDescent="0.25">
      <c r="A16" s="3">
        <v>10015</v>
      </c>
      <c r="B16" s="3" t="s">
        <v>19</v>
      </c>
      <c r="C16" s="1">
        <v>88</v>
      </c>
      <c r="D16" s="1">
        <v>89</v>
      </c>
      <c r="E16" s="1">
        <v>87</v>
      </c>
      <c r="F16" s="1">
        <v>90</v>
      </c>
      <c r="G16" s="1">
        <v>91</v>
      </c>
      <c r="H16" s="1"/>
      <c r="I16" s="4">
        <f t="shared" si="0"/>
        <v>445</v>
      </c>
      <c r="J16" s="4"/>
      <c r="K16" s="4">
        <f t="shared" si="2"/>
        <v>89</v>
      </c>
      <c r="L16" s="5" t="str">
        <f t="shared" si="3"/>
        <v>Pass</v>
      </c>
      <c r="M16" s="5" t="str">
        <f t="shared" si="1"/>
        <v>DISTENCTION</v>
      </c>
    </row>
    <row r="17" spans="1:13" x14ac:dyDescent="0.25">
      <c r="A17" s="3">
        <v>10016</v>
      </c>
      <c r="B17" s="3" t="s">
        <v>20</v>
      </c>
      <c r="C17" s="1">
        <v>74</v>
      </c>
      <c r="D17" s="1">
        <v>77</v>
      </c>
      <c r="E17" s="1">
        <v>75</v>
      </c>
      <c r="F17" s="1">
        <v>79</v>
      </c>
      <c r="G17" s="1">
        <v>78</v>
      </c>
      <c r="H17" s="1"/>
      <c r="I17" s="4">
        <f t="shared" si="0"/>
        <v>383</v>
      </c>
      <c r="J17" s="4"/>
      <c r="K17" s="4">
        <f t="shared" si="2"/>
        <v>76.599999999999994</v>
      </c>
      <c r="L17" s="5" t="str">
        <f t="shared" si="3"/>
        <v>Pass</v>
      </c>
      <c r="M17" s="5" t="str">
        <f t="shared" si="1"/>
        <v>DISTENCTION</v>
      </c>
    </row>
    <row r="18" spans="1:13" x14ac:dyDescent="0.25">
      <c r="A18" s="3">
        <v>10017</v>
      </c>
      <c r="B18" s="3" t="s">
        <v>21</v>
      </c>
      <c r="C18" s="1">
        <v>81</v>
      </c>
      <c r="D18" s="1">
        <v>83</v>
      </c>
      <c r="E18" s="1">
        <v>80</v>
      </c>
      <c r="F18" s="1">
        <v>84</v>
      </c>
      <c r="G18" s="1">
        <v>82</v>
      </c>
      <c r="H18" s="1"/>
      <c r="I18" s="4">
        <f t="shared" si="0"/>
        <v>410</v>
      </c>
      <c r="J18" s="4"/>
      <c r="K18" s="4">
        <f t="shared" si="2"/>
        <v>82</v>
      </c>
      <c r="L18" s="5" t="str">
        <f t="shared" si="3"/>
        <v>Pass</v>
      </c>
      <c r="M18" s="5" t="str">
        <f t="shared" si="1"/>
        <v>DISTENCTION</v>
      </c>
    </row>
    <row r="19" spans="1:13" x14ac:dyDescent="0.25">
      <c r="A19" s="3">
        <v>10018</v>
      </c>
      <c r="B19" s="3" t="s">
        <v>22</v>
      </c>
      <c r="C19" s="1">
        <v>69</v>
      </c>
      <c r="D19" s="1">
        <v>71</v>
      </c>
      <c r="E19" s="1">
        <v>68</v>
      </c>
      <c r="F19" s="1">
        <v>72</v>
      </c>
      <c r="G19" s="1">
        <v>70</v>
      </c>
      <c r="H19" s="1"/>
      <c r="I19" s="4">
        <f t="shared" si="0"/>
        <v>350</v>
      </c>
      <c r="J19" s="4"/>
      <c r="K19" s="4">
        <f t="shared" si="2"/>
        <v>70</v>
      </c>
      <c r="L19" s="5" t="str">
        <f t="shared" si="3"/>
        <v>Pass</v>
      </c>
      <c r="M19" s="5" t="str">
        <f t="shared" si="1"/>
        <v>DISTENCTION</v>
      </c>
    </row>
    <row r="20" spans="1:13" x14ac:dyDescent="0.25">
      <c r="A20" s="3">
        <v>10019</v>
      </c>
      <c r="B20" s="3" t="s">
        <v>23</v>
      </c>
      <c r="C20" s="1">
        <v>95</v>
      </c>
      <c r="D20" s="1">
        <v>97</v>
      </c>
      <c r="E20" s="1">
        <v>96</v>
      </c>
      <c r="F20" s="1">
        <v>94</v>
      </c>
      <c r="G20" s="1">
        <v>98</v>
      </c>
      <c r="H20" s="1"/>
      <c r="I20" s="4">
        <f t="shared" si="0"/>
        <v>480</v>
      </c>
      <c r="J20" s="4"/>
      <c r="K20" s="4">
        <f t="shared" si="2"/>
        <v>96</v>
      </c>
      <c r="L20" s="5" t="str">
        <f t="shared" si="3"/>
        <v>Pass</v>
      </c>
      <c r="M20" s="5" t="str">
        <f t="shared" si="1"/>
        <v>DISTENCTION</v>
      </c>
    </row>
    <row r="21" spans="1:13" x14ac:dyDescent="0.25">
      <c r="A21" s="3">
        <v>10020</v>
      </c>
      <c r="B21" s="3" t="s">
        <v>24</v>
      </c>
      <c r="C21" s="1">
        <v>73</v>
      </c>
      <c r="D21" s="1">
        <v>40</v>
      </c>
      <c r="E21" s="1">
        <v>74</v>
      </c>
      <c r="F21" s="1">
        <v>76</v>
      </c>
      <c r="G21" s="1">
        <v>77</v>
      </c>
      <c r="H21" s="1"/>
      <c r="I21" s="4">
        <f t="shared" si="0"/>
        <v>340</v>
      </c>
      <c r="J21" s="4"/>
      <c r="K21" s="4">
        <f t="shared" si="2"/>
        <v>68</v>
      </c>
      <c r="L21" s="5" t="str">
        <f t="shared" si="3"/>
        <v>Pass</v>
      </c>
      <c r="M21" s="5" t="str">
        <f t="shared" si="1"/>
        <v>NON DISTENCTION</v>
      </c>
    </row>
    <row r="22" spans="1:13" x14ac:dyDescent="0.25">
      <c r="M22" s="5">
        <f>COUNTIF(M2:M21,"DISTENCTION")</f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2" sqref="B2"/>
    </sheetView>
  </sheetViews>
  <sheetFormatPr defaultRowHeight="15" x14ac:dyDescent="0.25"/>
  <cols>
    <col min="2" max="2" width="13.7109375" customWidth="1"/>
    <col min="3" max="3" width="9.140625" customWidth="1"/>
  </cols>
  <sheetData>
    <row r="1" spans="1:4" x14ac:dyDescent="0.25">
      <c r="A1" t="s">
        <v>0</v>
      </c>
      <c r="B1" t="s">
        <v>33</v>
      </c>
      <c r="C1" t="s">
        <v>34</v>
      </c>
      <c r="D1" t="s">
        <v>35</v>
      </c>
    </row>
    <row r="2" spans="1:4" x14ac:dyDescent="0.25">
      <c r="A2" s="3">
        <v>10001</v>
      </c>
      <c r="B2" t="str">
        <f>VLOOKUP(A2,Sheet1!A2:M22,2,0)</f>
        <v>Alice Smith</v>
      </c>
      <c r="C2">
        <f>VLOOKUP(A2,Sheet1!A2:M22,9,0)</f>
        <v>368</v>
      </c>
      <c r="D2">
        <f>VLOOKUP(A2,Sheet1!A2:M22,11,0)</f>
        <v>73.599999999999994</v>
      </c>
    </row>
    <row r="3" spans="1:4" x14ac:dyDescent="0.25">
      <c r="A3" s="3">
        <v>10002</v>
      </c>
      <c r="B3" t="str">
        <f>VLOOKUP(A3,Sheet1!A3:M23,2,0)</f>
        <v>Bob Johnson</v>
      </c>
      <c r="C3">
        <f>VLOOKUP(A3,Sheet1!A3:M23,9,0)</f>
        <v>391</v>
      </c>
      <c r="D3">
        <f>VLOOKUP(A3,Sheet1!A3:M23,11,0)</f>
        <v>78.2</v>
      </c>
    </row>
    <row r="4" spans="1:4" x14ac:dyDescent="0.25">
      <c r="A4" s="3">
        <v>10003</v>
      </c>
      <c r="B4" t="str">
        <f>VLOOKUP(A4,Sheet1!A4:M24,2,0)</f>
        <v>Carol Brown</v>
      </c>
      <c r="C4">
        <f>VLOOKUP(A4,Sheet1!A4:M24,9,0)</f>
        <v>459</v>
      </c>
      <c r="D4">
        <f>VLOOKUP(A4,Sheet1!A4:M24,11,0)</f>
        <v>91.8</v>
      </c>
    </row>
    <row r="5" spans="1:4" x14ac:dyDescent="0.25">
      <c r="A5" s="3">
        <v>10004</v>
      </c>
      <c r="B5" t="str">
        <f>VLOOKUP(A5,Sheet1!A5:M25,2,0)</f>
        <v>David Wilson</v>
      </c>
      <c r="C5">
        <f>VLOOKUP(A5,Sheet1!A5:M25,9,0)</f>
        <v>349</v>
      </c>
      <c r="D5">
        <f>VLOOKUP(A5,Sheet1!A5:M25,11,0)</f>
        <v>69.8</v>
      </c>
    </row>
    <row r="6" spans="1:4" x14ac:dyDescent="0.25">
      <c r="A6" s="3">
        <v>10005</v>
      </c>
      <c r="B6" t="str">
        <f>VLOOKUP(A6,Sheet1!A6:M26,2,0)</f>
        <v>Emma Davis</v>
      </c>
      <c r="C6">
        <f>VLOOKUP(A6,Sheet1!A6:M26,9,0)</f>
        <v>366</v>
      </c>
      <c r="D6">
        <f>VLOOKUP(A6,Sheet1!A6:M26,11,0)</f>
        <v>73.2</v>
      </c>
    </row>
    <row r="7" spans="1:4" x14ac:dyDescent="0.25">
      <c r="A7" s="3">
        <v>10006</v>
      </c>
      <c r="B7" t="str">
        <f>VLOOKUP(A7,Sheet1!A7:M27,2,0)</f>
        <v>Frank Miller</v>
      </c>
      <c r="C7">
        <f>VLOOKUP(A7,Sheet1!A7:M27,9,0)</f>
        <v>368</v>
      </c>
      <c r="D7">
        <f>VLOOKUP(A7,Sheet1!A7:M27,11,0)</f>
        <v>73.599999999999994</v>
      </c>
    </row>
    <row r="8" spans="1:4" x14ac:dyDescent="0.25">
      <c r="A8" s="3">
        <v>10007</v>
      </c>
      <c r="B8" t="str">
        <f>VLOOKUP(A8,Sheet1!A8:M28,2,0)</f>
        <v>Grace Lee</v>
      </c>
      <c r="C8">
        <f>VLOOKUP(A8,Sheet1!A8:M28,9,0)</f>
        <v>465</v>
      </c>
      <c r="D8">
        <f>VLOOKUP(A8,Sheet1!A8:M28,11,0)</f>
        <v>93</v>
      </c>
    </row>
    <row r="9" spans="1:4" x14ac:dyDescent="0.25">
      <c r="A9" s="3">
        <v>10008</v>
      </c>
      <c r="B9" t="str">
        <f>VLOOKUP(A9,Sheet1!A9:M29,2,0)</f>
        <v>Henry Clark</v>
      </c>
      <c r="C9">
        <f>VLOOKUP(A9,Sheet1!A9:M29,9,0)</f>
        <v>329</v>
      </c>
      <c r="D9">
        <f>VLOOKUP(A9,Sheet1!A9:M29,11,0)</f>
        <v>65.8</v>
      </c>
    </row>
    <row r="10" spans="1:4" x14ac:dyDescent="0.25">
      <c r="A10" s="3">
        <v>10009</v>
      </c>
      <c r="B10" t="str">
        <f>VLOOKUP(A10,Sheet1!A10:M30,2,0)</f>
        <v>Ivy Lewis king</v>
      </c>
      <c r="C10">
        <f>VLOOKUP(A10,Sheet1!A10:M30,9,0)</f>
        <v>407</v>
      </c>
      <c r="D10">
        <f>VLOOKUP(A10,Sheet1!A10:M30,11,0)</f>
        <v>81.400000000000006</v>
      </c>
    </row>
    <row r="11" spans="1:4" x14ac:dyDescent="0.25">
      <c r="A11" s="3">
        <v>10010</v>
      </c>
      <c r="B11" t="str">
        <f>VLOOKUP(A11,Sheet1!A11:M31,2,0)</f>
        <v>Jack Walker</v>
      </c>
      <c r="C11">
        <f>VLOOKUP(A11,Sheet1!A11:M31,9,0)</f>
        <v>383</v>
      </c>
      <c r="D11">
        <f>VLOOKUP(A11,Sheet1!A11:M31,11,0)</f>
        <v>76.599999999999994</v>
      </c>
    </row>
    <row r="12" spans="1:4" x14ac:dyDescent="0.25">
      <c r="A12" s="3">
        <v>10011</v>
      </c>
      <c r="B12" t="str">
        <f>VLOOKUP(A12,Sheet1!A12:M32,2,0)</f>
        <v>Kathy Hall</v>
      </c>
      <c r="C12">
        <f>VLOOKUP(A12,Sheet1!A12:M32,9,0)</f>
        <v>399</v>
      </c>
      <c r="D12">
        <f>VLOOKUP(A12,Sheet1!A12:M32,11,0)</f>
        <v>79.8</v>
      </c>
    </row>
    <row r="13" spans="1:4" x14ac:dyDescent="0.25">
      <c r="A13" s="3">
        <v>10012</v>
      </c>
      <c r="B13" t="str">
        <f>VLOOKUP(A13,Sheet1!A13:M33,2,0)</f>
        <v>Liam Young</v>
      </c>
      <c r="C13">
        <f>VLOOKUP(A13,Sheet1!A13:M33,9,0)</f>
        <v>364</v>
      </c>
      <c r="D13">
        <f>VLOOKUP(A13,Sheet1!A13:M33,11,0)</f>
        <v>72.8</v>
      </c>
    </row>
    <row r="14" spans="1:4" x14ac:dyDescent="0.25">
      <c r="A14" s="3">
        <v>10013</v>
      </c>
      <c r="B14" t="str">
        <f>VLOOKUP(A14,Sheet1!A14:M34,2,0)</f>
        <v xml:space="preserve">Babu bhai </v>
      </c>
      <c r="C14">
        <f>VLOOKUP(A14,Sheet1!A14:M34,9,0)</f>
        <v>460</v>
      </c>
      <c r="D14">
        <f>VLOOKUP(A14,Sheet1!A14:M34,11,0)</f>
        <v>92</v>
      </c>
    </row>
    <row r="15" spans="1:4" x14ac:dyDescent="0.25">
      <c r="A15" s="3">
        <v>10014</v>
      </c>
      <c r="B15" t="str">
        <f>VLOOKUP(A15,Sheet1!A15:M35,2,0)</f>
        <v>Noah Wright</v>
      </c>
      <c r="C15">
        <f>VLOOKUP(A15,Sheet1!A15:M35,9,0)</f>
        <v>315</v>
      </c>
      <c r="D15">
        <f>VLOOKUP(A15,Sheet1!A15:M35,11,0)</f>
        <v>63</v>
      </c>
    </row>
    <row r="16" spans="1:4" x14ac:dyDescent="0.25">
      <c r="A16" s="3">
        <v>10015</v>
      </c>
      <c r="B16" t="str">
        <f>VLOOKUP(A16,Sheet1!A16:M36,2,0)</f>
        <v>Olivia Scott</v>
      </c>
      <c r="C16">
        <f>VLOOKUP(A16,Sheet1!A16:M36,9,0)</f>
        <v>445</v>
      </c>
      <c r="D16">
        <f>VLOOKUP(A16,Sheet1!A16:M36,11,0)</f>
        <v>89</v>
      </c>
    </row>
    <row r="17" spans="1:4" x14ac:dyDescent="0.25">
      <c r="A17" s="3">
        <v>10016</v>
      </c>
      <c r="B17" t="str">
        <f>VLOOKUP(A17,Sheet1!A17:M37,2,0)</f>
        <v>Paul Adams</v>
      </c>
      <c r="C17">
        <f>VLOOKUP(A17,Sheet1!A17:M37,9,0)</f>
        <v>383</v>
      </c>
      <c r="D17">
        <f>VLOOKUP(A17,Sheet1!A17:M37,11,0)</f>
        <v>76.599999999999994</v>
      </c>
    </row>
    <row r="18" spans="1:4" x14ac:dyDescent="0.25">
      <c r="A18" s="3">
        <v>10017</v>
      </c>
      <c r="B18" t="str">
        <f>VLOOKUP(A18,Sheet1!A18:M38,2,0)</f>
        <v>Quinn Baker</v>
      </c>
      <c r="C18">
        <f>VLOOKUP(A18,Sheet1!A18:M38,9,0)</f>
        <v>410</v>
      </c>
      <c r="D18">
        <f>VLOOKUP(A18,Sheet1!A18:M38,11,0)</f>
        <v>82</v>
      </c>
    </row>
    <row r="19" spans="1:4" x14ac:dyDescent="0.25">
      <c r="A19" s="3">
        <v>10018</v>
      </c>
      <c r="B19" t="str">
        <f>VLOOKUP(A19,Sheet1!A19:M39,2,0)</f>
        <v>Rachel Carter</v>
      </c>
      <c r="C19">
        <f>VLOOKUP(A19,Sheet1!A19:M39,9,0)</f>
        <v>350</v>
      </c>
      <c r="D19">
        <f>VLOOKUP(A19,Sheet1!A19:M39,11,0)</f>
        <v>70</v>
      </c>
    </row>
    <row r="20" spans="1:4" x14ac:dyDescent="0.25">
      <c r="A20" s="3">
        <v>10019</v>
      </c>
      <c r="B20" t="str">
        <f>VLOOKUP(A20,Sheet1!A20:M40,2,0)</f>
        <v>Steve Mitchell</v>
      </c>
      <c r="C20">
        <f>VLOOKUP(A20,Sheet1!A20:M40,9,0)</f>
        <v>480</v>
      </c>
      <c r="D20">
        <f>VLOOKUP(A20,Sheet1!A20:M40,11,0)</f>
        <v>96</v>
      </c>
    </row>
    <row r="21" spans="1:4" x14ac:dyDescent="0.25">
      <c r="A21" s="3">
        <v>10020</v>
      </c>
      <c r="B21" t="str">
        <f>VLOOKUP(A21,Sheet1!A21:M41,2,0)</f>
        <v>Tina Perez</v>
      </c>
      <c r="C21">
        <f>VLOOKUP(A21,Sheet1!A21:M41,9,0)</f>
        <v>340</v>
      </c>
      <c r="D21">
        <f>VLOOKUP(A21,Sheet1!A21:M41,11,0)</f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SITNGP-02_02</dc:creator>
  <cp:lastModifiedBy>SITNGP-02_02</cp:lastModifiedBy>
  <dcterms:created xsi:type="dcterms:W3CDTF">2025-10-01T10:31:30Z</dcterms:created>
  <dcterms:modified xsi:type="dcterms:W3CDTF">2025-11-12T09:58:13Z</dcterms:modified>
</cp:coreProperties>
</file>